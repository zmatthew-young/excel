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cha\神州\工具\资料\excel\"/>
    </mc:Choice>
  </mc:AlternateContent>
  <xr:revisionPtr revIDLastSave="0" documentId="13_ncr:1_{7497CB5E-0AAB-471F-9500-8E9368227795}" xr6:coauthVersionLast="47" xr6:coauthVersionMax="47" xr10:uidLastSave="{00000000-0000-0000-0000-000000000000}"/>
  <bookViews>
    <workbookView xWindow="47460" yWindow="0" windowWidth="29430" windowHeight="20970" tabRatio="684" xr2:uid="{00000000-000D-0000-FFFF-FFFF00000000}"/>
  </bookViews>
  <sheets>
    <sheet name="End Product" sheetId="1" r:id="rId1"/>
    <sheet name="Original 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<sst xmlns="http://schemas.openxmlformats.org/spreadsheetml/2006/main" count="41" uniqueCount="26">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</sst>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0" fontId="4" fillId="0" borderId="0" xfId="0" applyFont="1"/>
    <xf numFmtId="44" fontId="4" fillId="0" borderId="0" xfId="1" applyFont="1"/>
    <xf numFmtId="9" fontId="4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tabSelected="1" zoomScale="190" zoomScaleNormal="190" workbookViewId="0"/>
  </sheetViews>
  <sheetFormatPr defaultColWidth="6.08984375" defaultRowHeight="14.75" x14ac:dyDescent="0.75"/>
  <cols>
    <col min="1" max="1" width="16.1796875" bestFit="1" customWidth="1"/>
    <col min="2" max="2" width="10.86328125" style="2" bestFit="1" customWidth="1"/>
    <col min="3" max="3" width="8.6796875" style="2" bestFit="1" customWidth="1"/>
    <col min="4" max="4" width="7.81640625" style="2" bestFit="1" customWidth="1"/>
    <col min="5" max="5" width="8.953125" style="2" bestFit="1" customWidth="1"/>
    <col min="6" max="6" width="11.40625" style="2" bestFit="1" customWidth="1"/>
    <col min="7" max="7" width="9.953125" style="3" bestFit="1" customWidth="1"/>
    <col min="8" max="8" width="10.5" style="3" bestFit="1" customWidth="1"/>
    <col min="9" max="9" width="13.58984375" style="3" bestFit="1" customWidth="1"/>
    <col min="10" max="10" width="14.86328125" style="3" bestFit="1" customWidth="1"/>
    <col min="14" max="14" width="7.453125" customWidth="1"/>
  </cols>
  <sheetData>
    <row r="1" spans="1:14" ht="23" x14ac:dyDescent="1">
      <c r="A1" s="1" t="s">
        <v>25</v>
      </c>
    </row>
    <row r="2" spans="1:14" ht="23" x14ac:dyDescent="1">
      <c r="A2" s="1" t="s">
        <v>0</v>
      </c>
    </row>
    <row r="4" spans="1:14" ht="15.75" x14ac:dyDescent="0.75">
      <c r="B4" s="5" t="s">
        <v>1</v>
      </c>
      <c r="C4" s="5" t="s">
        <v>2</v>
      </c>
      <c r="D4" s="5" t="s">
        <v>3</v>
      </c>
      <c r="E4" s="5" t="s">
        <v>4</v>
      </c>
      <c r="F4" s="5" t="s">
        <v>5</v>
      </c>
      <c r="G4" s="6" t="s">
        <v>6</v>
      </c>
      <c r="H4" s="6" t="s">
        <v>7</v>
      </c>
      <c r="I4" s="6" t="s">
        <v>8</v>
      </c>
      <c r="J4" s="6" t="s">
        <v>9</v>
      </c>
    </row>
    <row r="5" spans="1:14" x14ac:dyDescent="0.75">
      <c r="B5" s="2" t="s">
        <v>10</v>
      </c>
      <c r="C5" s="2">
        <v>15</v>
      </c>
      <c r="D5" s="2">
        <v>16.23</v>
      </c>
      <c r="E5" s="2">
        <v>9.23</v>
      </c>
      <c r="F5" s="2">
        <v>12.53</v>
      </c>
      <c r="G5" s="3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75">
      <c r="B6" s="2" t="s">
        <v>11</v>
      </c>
      <c r="C6" s="2">
        <v>38.07</v>
      </c>
      <c r="D6" s="2">
        <v>41.38</v>
      </c>
      <c r="E6" s="2">
        <v>32.9</v>
      </c>
      <c r="F6" s="2">
        <v>41.38</v>
      </c>
      <c r="G6" s="3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75">
      <c r="B7" s="2" t="s">
        <v>12</v>
      </c>
      <c r="C7" s="2">
        <v>23.45</v>
      </c>
      <c r="D7" s="2">
        <v>25.33</v>
      </c>
      <c r="E7" s="2">
        <v>18.34</v>
      </c>
      <c r="F7" s="2">
        <v>21.34</v>
      </c>
      <c r="G7" s="3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75">
      <c r="B8" s="2" t="s">
        <v>13</v>
      </c>
      <c r="C8" s="2">
        <v>27.34</v>
      </c>
      <c r="D8" s="2">
        <v>30.09</v>
      </c>
      <c r="E8" s="2">
        <v>21.35</v>
      </c>
      <c r="F8" s="2">
        <v>24.32</v>
      </c>
      <c r="G8" s="3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75">
      <c r="B9" s="2" t="s">
        <v>14</v>
      </c>
      <c r="C9" s="2">
        <v>15.78</v>
      </c>
      <c r="D9" s="2">
        <v>16.43</v>
      </c>
      <c r="E9" s="2">
        <v>13.55</v>
      </c>
      <c r="F9" s="2">
        <v>14.32</v>
      </c>
      <c r="G9" s="3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75">
      <c r="B10" s="2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3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75">
      <c r="B11" s="2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3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75">
      <c r="B12" s="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3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75">
      <c r="B13" s="2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3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75">
      <c r="B14" s="2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3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75">
      <c r="B15" s="2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3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75">
      <c r="B16" s="2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3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75">
      <c r="B17" s="2" t="s">
        <v>22</v>
      </c>
      <c r="C17" s="2">
        <v>1.23</v>
      </c>
      <c r="D17" s="2">
        <v>2.34</v>
      </c>
      <c r="E17" s="2">
        <v>1.23</v>
      </c>
      <c r="F17" s="2">
        <v>1.56</v>
      </c>
      <c r="G17" s="3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75">
      <c r="B18" s="2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3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75">
      <c r="B19" s="2" t="s">
        <v>24</v>
      </c>
      <c r="C19" s="2">
        <v>3.23</v>
      </c>
      <c r="D19" s="2">
        <v>6.43</v>
      </c>
      <c r="E19" s="2">
        <v>3.12</v>
      </c>
      <c r="F19" s="2">
        <v>4.05</v>
      </c>
      <c r="G19" s="3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75">
      <c r="J20" s="7"/>
    </row>
    <row r="21" spans="2:14" ht="15.75" x14ac:dyDescent="0.75">
      <c r="I2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08984375" defaultRowHeight="14.75" x14ac:dyDescent="0.75"/>
  <cols>
    <col min="1" max="1" width="10.453125" customWidth="1"/>
    <col min="2" max="2" width="8.453125" style="8" customWidth="1"/>
    <col min="3" max="3" width="9.54296875" style="8" customWidth="1"/>
    <col min="4" max="4" width="10.453125" style="8" customWidth="1"/>
    <col min="5" max="5" width="9.54296875" style="8" customWidth="1"/>
    <col min="6" max="6" width="9.6796875" style="8" customWidth="1"/>
    <col min="7" max="7" width="14.86328125" style="9" customWidth="1"/>
    <col min="8" max="8" width="8" style="9" customWidth="1"/>
    <col min="9" max="9" width="17" style="9" customWidth="1"/>
  </cols>
  <sheetData>
    <row r="1" spans="1:9" x14ac:dyDescent="0.75">
      <c r="A1" t="s">
        <v>10</v>
      </c>
      <c r="B1" s="8">
        <v>12.53</v>
      </c>
      <c r="C1" s="8">
        <v>12.99</v>
      </c>
      <c r="D1" s="8">
        <v>9.23</v>
      </c>
      <c r="E1" s="8">
        <v>10.35</v>
      </c>
      <c r="F1" s="8">
        <f t="shared" ref="F1:F15" si="0">E1-B1</f>
        <v>-2.1799999999999997</v>
      </c>
      <c r="G1" s="9">
        <f t="shared" ref="G1:G15" si="1">F1/B1</f>
        <v>-0.17398244213886671</v>
      </c>
      <c r="H1" s="9">
        <v>0.1</v>
      </c>
      <c r="I1" s="9">
        <f t="shared" ref="I1:I15" si="2">G1*H1</f>
        <v>-1.7398244213886672E-2</v>
      </c>
    </row>
    <row r="2" spans="1:9" x14ac:dyDescent="0.75">
      <c r="A2" t="s">
        <v>11</v>
      </c>
      <c r="B2" s="8">
        <v>41.38</v>
      </c>
      <c r="C2" s="8">
        <v>46.45</v>
      </c>
      <c r="D2" s="8">
        <v>42.23</v>
      </c>
      <c r="E2" s="8">
        <v>45.63</v>
      </c>
      <c r="F2" s="8">
        <f t="shared" si="0"/>
        <v>4.25</v>
      </c>
      <c r="G2" s="9">
        <f t="shared" si="1"/>
        <v>0.10270662155630739</v>
      </c>
      <c r="H2" s="9">
        <v>0.04</v>
      </c>
      <c r="I2" s="9">
        <f t="shared" si="2"/>
        <v>4.108264862252296E-3</v>
      </c>
    </row>
    <row r="3" spans="1:9" x14ac:dyDescent="0.75">
      <c r="A3" t="s">
        <v>12</v>
      </c>
      <c r="B3" s="8">
        <v>21.34</v>
      </c>
      <c r="C3" s="8">
        <v>25.33</v>
      </c>
      <c r="D3" s="8">
        <v>18.34</v>
      </c>
      <c r="E3" s="8">
        <v>18.600000000000001</v>
      </c>
      <c r="F3" s="8">
        <f t="shared" si="0"/>
        <v>-2.7399999999999984</v>
      </c>
      <c r="G3" s="9">
        <f t="shared" si="1"/>
        <v>-0.12839737582005617</v>
      </c>
      <c r="H3" s="9">
        <v>0.08</v>
      </c>
      <c r="I3" s="9">
        <f t="shared" si="2"/>
        <v>-1.0271790065604493E-2</v>
      </c>
    </row>
    <row r="4" spans="1:9" x14ac:dyDescent="0.75">
      <c r="A4" t="s">
        <v>13</v>
      </c>
      <c r="B4" s="8">
        <v>24.32</v>
      </c>
      <c r="C4" s="8">
        <v>25.67</v>
      </c>
      <c r="D4" s="8">
        <v>21.35</v>
      </c>
      <c r="E4" s="8">
        <v>21.45</v>
      </c>
      <c r="F4" s="8">
        <f t="shared" si="0"/>
        <v>-2.870000000000001</v>
      </c>
      <c r="G4" s="9">
        <f t="shared" si="1"/>
        <v>-0.11800986842105267</v>
      </c>
      <c r="H4" s="9">
        <v>7.0000000000000007E-2</v>
      </c>
      <c r="I4" s="9">
        <f t="shared" si="2"/>
        <v>-8.2606907894736872E-3</v>
      </c>
    </row>
    <row r="5" spans="1:9" x14ac:dyDescent="0.75">
      <c r="A5" t="s">
        <v>14</v>
      </c>
      <c r="B5" s="8">
        <v>14.32</v>
      </c>
      <c r="C5" s="8">
        <v>16.43</v>
      </c>
      <c r="D5" s="8">
        <v>13.55</v>
      </c>
      <c r="E5" s="8">
        <v>13.63</v>
      </c>
      <c r="F5" s="8">
        <f t="shared" si="0"/>
        <v>-0.6899999999999995</v>
      </c>
      <c r="G5" s="9">
        <f t="shared" si="1"/>
        <v>-4.8184357541899404E-2</v>
      </c>
      <c r="H5" s="9">
        <v>0.05</v>
      </c>
      <c r="I5" s="9">
        <f t="shared" si="2"/>
        <v>-2.4092178770949704E-3</v>
      </c>
    </row>
    <row r="6" spans="1:9" x14ac:dyDescent="0.75">
      <c r="A6" t="s">
        <v>15</v>
      </c>
      <c r="B6" s="8">
        <v>23.45</v>
      </c>
      <c r="C6" s="8">
        <v>30.34</v>
      </c>
      <c r="D6" s="8">
        <v>28.34</v>
      </c>
      <c r="E6" s="8">
        <v>29.53</v>
      </c>
      <c r="F6" s="8">
        <f t="shared" si="0"/>
        <v>6.0800000000000018</v>
      </c>
      <c r="G6" s="9">
        <f t="shared" si="1"/>
        <v>0.25927505330490414</v>
      </c>
      <c r="H6" s="9">
        <v>0.05</v>
      </c>
      <c r="I6" s="9">
        <f t="shared" si="2"/>
        <v>1.2963752665245208E-2</v>
      </c>
    </row>
    <row r="7" spans="1:9" x14ac:dyDescent="0.75">
      <c r="A7" t="s">
        <v>16</v>
      </c>
      <c r="B7" s="8">
        <v>25.65</v>
      </c>
      <c r="C7" s="8">
        <v>29.45</v>
      </c>
      <c r="D7" s="8">
        <v>26.42</v>
      </c>
      <c r="E7" s="8">
        <v>26.95</v>
      </c>
      <c r="F7" s="8">
        <f t="shared" si="0"/>
        <v>1.3000000000000007</v>
      </c>
      <c r="G7" s="9">
        <f t="shared" si="1"/>
        <v>5.068226120857703E-2</v>
      </c>
      <c r="H7" s="9">
        <v>0.05</v>
      </c>
      <c r="I7" s="9">
        <f t="shared" si="2"/>
        <v>2.5341130604288518E-3</v>
      </c>
    </row>
    <row r="8" spans="1:9" x14ac:dyDescent="0.75">
      <c r="A8" t="s">
        <v>17</v>
      </c>
      <c r="B8" s="8">
        <v>20.34</v>
      </c>
      <c r="C8" s="8">
        <v>30.21</v>
      </c>
      <c r="D8" s="8">
        <v>26.42</v>
      </c>
      <c r="E8" s="8">
        <v>27.43</v>
      </c>
      <c r="F8" s="8">
        <f t="shared" si="0"/>
        <v>7.09</v>
      </c>
      <c r="G8" s="9">
        <f t="shared" si="1"/>
        <v>0.34857423795476894</v>
      </c>
      <c r="H8" s="9">
        <v>0.1</v>
      </c>
      <c r="I8" s="9">
        <f t="shared" si="2"/>
        <v>3.4857423795476898E-2</v>
      </c>
    </row>
    <row r="9" spans="1:9" x14ac:dyDescent="0.75">
      <c r="A9" t="s">
        <v>18</v>
      </c>
      <c r="B9" s="8">
        <v>33.14</v>
      </c>
      <c r="C9" s="8">
        <v>36.43</v>
      </c>
      <c r="D9" s="8">
        <v>32.65</v>
      </c>
      <c r="E9" s="8">
        <v>32.65</v>
      </c>
      <c r="F9" s="8">
        <f t="shared" si="0"/>
        <v>-0.49000000000000199</v>
      </c>
      <c r="G9" s="9">
        <f t="shared" si="1"/>
        <v>-1.4785757392878756E-2</v>
      </c>
      <c r="H9" s="9">
        <v>0.05</v>
      </c>
      <c r="I9" s="9">
        <f t="shared" si="2"/>
        <v>-7.3928786964393785E-4</v>
      </c>
    </row>
    <row r="10" spans="1:9" x14ac:dyDescent="0.75">
      <c r="A10" t="s">
        <v>19</v>
      </c>
      <c r="B10" s="8">
        <v>31.54</v>
      </c>
      <c r="C10" s="8">
        <v>35.65</v>
      </c>
      <c r="D10" s="8">
        <v>24.56</v>
      </c>
      <c r="E10" s="8">
        <v>26.43</v>
      </c>
      <c r="F10" s="8">
        <f t="shared" si="0"/>
        <v>-5.1099999999999994</v>
      </c>
      <c r="G10" s="9">
        <f t="shared" si="1"/>
        <v>-0.16201648700063409</v>
      </c>
      <c r="H10" s="9">
        <v>0.04</v>
      </c>
      <c r="I10" s="9">
        <f t="shared" si="2"/>
        <v>-6.4806594800253638E-3</v>
      </c>
    </row>
    <row r="11" spans="1:9" x14ac:dyDescent="0.75">
      <c r="A11" t="s">
        <v>20</v>
      </c>
      <c r="B11" s="8">
        <v>19.34</v>
      </c>
      <c r="C11" s="8">
        <v>25.46</v>
      </c>
      <c r="D11" s="8">
        <v>23.64</v>
      </c>
      <c r="E11" s="8">
        <v>24.56</v>
      </c>
      <c r="F11" s="8">
        <f t="shared" si="0"/>
        <v>5.2199999999999989</v>
      </c>
      <c r="G11" s="9">
        <f t="shared" si="1"/>
        <v>0.26990692864529464</v>
      </c>
      <c r="H11" s="9">
        <v>0.08</v>
      </c>
      <c r="I11" s="9">
        <f t="shared" si="2"/>
        <v>2.1592554291623572E-2</v>
      </c>
    </row>
    <row r="12" spans="1:9" x14ac:dyDescent="0.75">
      <c r="A12" t="s">
        <v>21</v>
      </c>
      <c r="B12" s="8">
        <v>49.03</v>
      </c>
      <c r="C12" s="8">
        <v>53.13</v>
      </c>
      <c r="D12" s="8">
        <v>42.53</v>
      </c>
      <c r="E12" s="8">
        <v>42.53</v>
      </c>
      <c r="F12" s="8">
        <f t="shared" si="0"/>
        <v>-6.5</v>
      </c>
      <c r="G12" s="9">
        <f t="shared" si="1"/>
        <v>-0.13257189475831124</v>
      </c>
      <c r="H12" s="9">
        <v>0.03</v>
      </c>
      <c r="I12" s="9">
        <f t="shared" si="2"/>
        <v>-3.9771568427493372E-3</v>
      </c>
    </row>
    <row r="13" spans="1:9" x14ac:dyDescent="0.75">
      <c r="A13" t="s">
        <v>22</v>
      </c>
      <c r="B13" s="8">
        <v>1.56</v>
      </c>
      <c r="C13" s="8">
        <v>2.34</v>
      </c>
      <c r="D13" s="8">
        <v>1.94</v>
      </c>
      <c r="E13" s="8">
        <v>2.13</v>
      </c>
      <c r="F13" s="8">
        <f t="shared" si="0"/>
        <v>0.56999999999999984</v>
      </c>
      <c r="G13" s="9">
        <f t="shared" si="1"/>
        <v>0.36538461538461525</v>
      </c>
      <c r="H13" s="9">
        <v>0.1</v>
      </c>
      <c r="I13" s="9">
        <f t="shared" si="2"/>
        <v>3.6538461538461527E-2</v>
      </c>
    </row>
    <row r="14" spans="1:9" x14ac:dyDescent="0.75">
      <c r="A14" t="s">
        <v>23</v>
      </c>
      <c r="B14" s="8">
        <v>13.56</v>
      </c>
      <c r="C14" s="8">
        <v>15.43</v>
      </c>
      <c r="D14" s="8">
        <v>11.23</v>
      </c>
      <c r="E14" s="8">
        <v>14.56</v>
      </c>
      <c r="F14" s="8">
        <f t="shared" si="0"/>
        <v>1</v>
      </c>
      <c r="G14" s="9">
        <f t="shared" si="1"/>
        <v>7.3746312684365781E-2</v>
      </c>
      <c r="H14" s="9">
        <v>0.05</v>
      </c>
      <c r="I14" s="9">
        <f t="shared" si="2"/>
        <v>3.687315634218289E-3</v>
      </c>
    </row>
    <row r="15" spans="1:9" x14ac:dyDescent="0.75">
      <c r="A15" t="s">
        <v>24</v>
      </c>
      <c r="B15" s="8">
        <v>4.05</v>
      </c>
      <c r="C15" s="8">
        <v>6.43</v>
      </c>
      <c r="D15" s="8">
        <v>3.56</v>
      </c>
      <c r="E15" s="8">
        <v>5.25</v>
      </c>
      <c r="F15" s="8">
        <f t="shared" si="0"/>
        <v>1.2000000000000002</v>
      </c>
      <c r="G15" s="9">
        <f t="shared" si="1"/>
        <v>0.29629629629629634</v>
      </c>
      <c r="H15" s="9">
        <v>0.06</v>
      </c>
      <c r="I15" s="9">
        <f t="shared" si="2"/>
        <v>1.7777777777777778E-2</v>
      </c>
    </row>
    <row r="16" spans="1:9" x14ac:dyDescent="0.75">
      <c r="I16" s="10"/>
    </row>
    <row r="17" spans="8:8" customFormat="1" ht="15.75" x14ac:dyDescent="0.75">
      <c r="H1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End Product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Young</dc:creator>
  <cp:lastModifiedBy>Zachary Young</cp:lastModifiedBy>
  <dcterms:created xsi:type="dcterms:W3CDTF">2011-09-14T06:03:19Z</dcterms:created>
  <dcterms:modified xsi:type="dcterms:W3CDTF">2024-02-27T19:46:56Z</dcterms:modified>
</cp:coreProperties>
</file>